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'DASHBOARD'!$B$9:$B$18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'DASHBOARD'!$B$9:$B$18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CATEGORIA</t>
        </is>
      </c>
      <c r="D1" s="1" t="inlineStr">
        <is>
          <t>MÉTODO DE PAGO</t>
        </is>
      </c>
      <c r="E1" s="1" t="inlineStr">
        <is>
          <t>TIPO</t>
        </is>
      </c>
      <c r="F1" s="1" t="inlineStr">
        <is>
          <t>USUARIO</t>
        </is>
      </c>
      <c r="G1" s="1" t="inlineStr">
        <is>
          <t>MONTO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 DE GASTOS (CAD)</t>
        </is>
      </c>
    </row>
    <row r="3">
      <c r="A3" s="3" t="inlineStr">
        <is>
          <t>Total gastos:</t>
        </is>
      </c>
      <c r="B3" s="4">
        <f>SUM(MOVIMIENTOS!G:G)</f>
        <v/>
      </c>
    </row>
    <row r="4">
      <c r="A4" s="3" t="inlineStr">
        <is>
          <t>Total Cross:</t>
        </is>
      </c>
      <c r="B4" s="4">
        <f>SUMIF(MOVIMIENTOS!F:F,"Cross",MOVIMIENTOS!G:G)</f>
        <v/>
      </c>
    </row>
    <row r="5">
      <c r="A5" s="3" t="inlineStr">
        <is>
          <t>Total Pau:</t>
        </is>
      </c>
      <c r="B5" s="4">
        <f>SUMIF(MOVIMIENTOS!F:F,"Pau",MOVIMIENTOS!G:G)</f>
        <v/>
      </c>
    </row>
    <row r="8">
      <c r="A8" s="3" t="inlineStr">
        <is>
          <t>Categoría</t>
        </is>
      </c>
      <c r="B8" s="3" t="inlineStr">
        <is>
          <t>Total</t>
        </is>
      </c>
    </row>
    <row r="9">
      <c r="A9" t="inlineStr">
        <is>
          <t>HOGAR</t>
        </is>
      </c>
      <c r="B9">
        <f>SUMIF(MOVIMIENTOS!C:C,"HOGAR",MOVIMIENTOS!G:G)</f>
        <v/>
      </c>
    </row>
    <row r="10">
      <c r="A10" t="inlineStr">
        <is>
          <t>COMIDA/SUPER</t>
        </is>
      </c>
      <c r="B10">
        <f>SUMIF(MOVIMIENTOS!C:C,"COMIDA/SUPER",MOVIMIENTOS!G:G)</f>
        <v/>
      </c>
    </row>
    <row r="11">
      <c r="A11" t="inlineStr">
        <is>
          <t>TRANSPORTE</t>
        </is>
      </c>
      <c r="B11">
        <f>SUMIF(MOVIMIENTOS!C:C,"TRANSPORTE",MOVIMIENTOS!G:G)</f>
        <v/>
      </c>
    </row>
    <row r="12">
      <c r="A12" t="inlineStr">
        <is>
          <t>SALUD Y BIENESTAR</t>
        </is>
      </c>
      <c r="B12">
        <f>SUMIF(MOVIMIENTOS!C:C,"SALUD Y BIENESTAR",MOVIMIENTOS!G:G)</f>
        <v/>
      </c>
    </row>
    <row r="13">
      <c r="A13" t="inlineStr">
        <is>
          <t>ROPA Y BELLEZA</t>
        </is>
      </c>
      <c r="B13">
        <f>SUMIF(MOVIMIENTOS!C:C,"ROPA Y BELLEZA",MOVIMIENTOS!G:G)</f>
        <v/>
      </c>
    </row>
    <row r="14">
      <c r="A14" t="inlineStr">
        <is>
          <t>DIVERSIÓN Y SALIDAS</t>
        </is>
      </c>
      <c r="B14">
        <f>SUMIF(MOVIMIENTOS!C:C,"DIVERSIÓN Y SALIDAS",MOVIMIENTOS!G:G)</f>
        <v/>
      </c>
    </row>
    <row r="15">
      <c r="A15" t="inlineStr">
        <is>
          <t>EDUCACIÓN</t>
        </is>
      </c>
      <c r="B15">
        <f>SUMIF(MOVIMIENTOS!C:C,"EDUCACIÓN",MOVIMIENTOS!G:G)</f>
        <v/>
      </c>
    </row>
    <row r="16">
      <c r="A16" t="inlineStr">
        <is>
          <t>SUSCRIPCIONES / OTROS</t>
        </is>
      </c>
      <c r="B16">
        <f>SUMIF(MOVIMIENTOS!C:C,"SUSCRIPCIONES / OTROS",MOVIMIENTOS!G:G)</f>
        <v/>
      </c>
    </row>
    <row r="17">
      <c r="A17" t="inlineStr">
        <is>
          <t>VARIOS / IMPREVISTOS</t>
        </is>
      </c>
      <c r="B17">
        <f>SUMIF(MOVIMIENTOS!C:C,"VARIOS / IMPREVISTOS",MOVIMIENTOS!G:G)</f>
        <v/>
      </c>
    </row>
    <row r="18">
      <c r="A18" t="inlineStr">
        <is>
          <t>AHORROS</t>
        </is>
      </c>
      <c r="B18">
        <f>SUMIF(MOVIMIENTOS!C:C,"AHORROS",MOVIMIENTOS!G:G)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2026-03-05T04:28:14Z</dcterms:created>
  <dcterms:modified xmlns:dcterms="http://purl.org/dc/terms/" xmlns:xsi="http://www.w3.org/2001/XMLSchema-instance" xsi:type="dcterms:W3CDTF">2026-03-05T04:28:14Z</dcterms:modified>
</cp:coreProperties>
</file>